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eethu K S\Desktop\my works\"/>
    </mc:Choice>
  </mc:AlternateContent>
  <xr:revisionPtr revIDLastSave="0" documentId="13_ncr:1_{4815CC94-8A2E-44C9-8E0C-0858C0F4F182}" xr6:coauthVersionLast="47" xr6:coauthVersionMax="47" xr10:uidLastSave="{00000000-0000-0000-0000-000000000000}"/>
  <bookViews>
    <workbookView xWindow="-108" yWindow="-108" windowWidth="23256" windowHeight="12456" activeTab="1" xr2:uid="{F2338E2A-42BE-472D-826F-2DE3207B5E9C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2" l="1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2" i="2"/>
  <c r="M16" i="2"/>
  <c r="M17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2" i="2"/>
  <c r="M10" i="2"/>
  <c r="M14" i="2"/>
  <c r="M13" i="2"/>
  <c r="M11" i="2"/>
  <c r="M9" i="2"/>
</calcChain>
</file>

<file path=xl/sharedStrings.xml><?xml version="1.0" encoding="utf-8"?>
<sst xmlns="http://schemas.openxmlformats.org/spreadsheetml/2006/main" count="311" uniqueCount="120">
  <si>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</si>
  <si>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</si>
  <si>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</si>
  <si>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</si>
  <si>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</si>
  <si>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</si>
  <si>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</si>
  <si>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</si>
  <si>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</si>
  <si>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</si>
  <si>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</si>
  <si>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</si>
  <si>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</si>
  <si>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</si>
  <si>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</si>
  <si>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</si>
  <si>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</si>
  <si>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</si>
  <si>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</si>
  <si>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</si>
  <si>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</si>
  <si>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</si>
  <si>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</si>
  <si>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</si>
  <si>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</si>
  <si>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</si>
  <si>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</si>
  <si>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</si>
  <si>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</si>
  <si>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</si>
  <si>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</si>
  <si>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</si>
  <si>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</si>
  <si>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</si>
  <si>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</si>
  <si>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</si>
  <si>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</si>
  <si>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</si>
  <si>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</si>
  <si>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</si>
  <si>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</si>
  <si>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</si>
  <si>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</si>
  <si>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</si>
  <si>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</si>
  <si>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</si>
  <si>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</si>
  <si>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</si>
  <si>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</si>
  <si>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</si>
  <si>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</si>
  <si>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</si>
  <si>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</si>
  <si>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</si>
  <si>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</si>
  <si>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</si>
  <si>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</si>
  <si>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</si>
  <si>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</si>
  <si>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</si>
  <si>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</si>
  <si>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</si>
  <si>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</si>
  <si>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</si>
  <si>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</si>
  <si>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</si>
  <si>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</si>
  <si>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</si>
  <si>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</si>
  <si>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</si>
  <si>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</si>
  <si>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</si>
  <si>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</si>
  <si>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</si>
  <si>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</si>
  <si>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</si>
  <si>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</si>
  <si>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</si>
  <si>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</si>
  <si>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</si>
  <si>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</si>
  <si>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</si>
  <si>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</si>
  <si>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</si>
  <si>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</si>
  <si>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</si>
  <si>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</si>
  <si>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</si>
  <si>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</si>
  <si>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</si>
  <si>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</si>
  <si>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</si>
  <si>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</si>
  <si>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</si>
  <si>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</si>
  <si>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</si>
  <si>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</si>
  <si>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 xml:space="preserve">Total price of all products </t>
  </si>
  <si>
    <t xml:space="preserve">Total count of products </t>
  </si>
  <si>
    <t>Average price of all products</t>
  </si>
  <si>
    <t>Minimum price of all products</t>
  </si>
  <si>
    <t>Maximum price of all products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</si>
  <si>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</si>
  <si>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</si>
  <si>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</si>
  <si>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</si>
  <si>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</si>
  <si>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</si>
  <si>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</si>
  <si>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</si>
  <si>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</si>
  <si>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</si>
  <si>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</si>
  <si>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</si>
  <si>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Price range</t>
  </si>
  <si>
    <r>
      <t xml:space="preserve">Count of price of less than </t>
    </r>
    <r>
      <rPr>
        <u/>
        <sz val="10"/>
        <color theme="1"/>
        <rFont val="Arial"/>
        <family val="2"/>
      </rPr>
      <t>$</t>
    </r>
    <r>
      <rPr>
        <sz val="10"/>
        <color theme="1"/>
        <rFont val="Arial"/>
        <family val="2"/>
      </rPr>
      <t>100</t>
    </r>
  </si>
  <si>
    <t xml:space="preserve">Total price of products in Electronics Category </t>
  </si>
  <si>
    <t xml:space="preserve">Day with first 2 characters of Product ID </t>
  </si>
  <si>
    <t>Country code by extracting last 2 characters of Product ID</t>
  </si>
  <si>
    <t>Month by extracting 4th to 6th character from Product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</si>
</sst>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_ ;_-[$$-409]* \-#,##0.00\ ;_-[$$-409]* &quot;-&quot;??_ ;_-@_ "/>
  </numFmts>
  <fonts count="6" x14ac:knownFonts="1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u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4DD0E1"/>
        <bgColor indexed="64"/>
      </patternFill>
    </fill>
    <fill>
      <patternFill patternType="solid">
        <fgColor rgb="FFE0F7FA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  <xf numFmtId="0" fontId="2" fillId="3" borderId="1" xfId="0" applyFont="1" applyFill="1" applyBorder="1" applyAlignment="1">
      <alignment wrapText="1"/>
    </xf>
    <xf numFmtId="0" fontId="2" fillId="3" borderId="1" xfId="0" applyFont="1" applyFill="1" applyBorder="1" applyAlignment="1">
      <alignment horizontal="right" wrapText="1"/>
    </xf>
    <xf numFmtId="0" fontId="3" fillId="0" borderId="0" xfId="0" applyFont="1" applyAlignment="1">
      <alignment vertical="center"/>
    </xf>
    <xf numFmtId="0" fontId="2" fillId="0" borderId="0" xfId="0" applyFont="1" applyAlignment="1">
      <alignment wrapText="1"/>
    </xf>
    <xf numFmtId="0" fontId="4" fillId="0" borderId="0" xfId="0" applyFont="1" applyAlignment="1">
      <alignment vertical="center"/>
    </xf>
    <xf numFmtId="0" fontId="0" fillId="4" borderId="2" xfId="0" applyFill="1" applyBorder="1"/>
    <xf numFmtId="0" fontId="4" fillId="4" borderId="2" xfId="0" applyFont="1" applyFill="1" applyBorder="1" applyAlignment="1">
      <alignment vertical="center"/>
    </xf>
    <xf numFmtId="164" fontId="0" fillId="4" borderId="2" xfId="0" applyNumberFormat="1" applyFill="1" applyBorder="1"/>
    <xf numFmtId="0" fontId="2" fillId="4" borderId="2" xfId="0" applyFont="1" applyFill="1" applyBorder="1" applyAlignment="1">
      <alignment wrapText="1"/>
    </xf>
    <xf numFmtId="0" fontId="1" fillId="2" borderId="3" xfId="0" applyFont="1" applyFill="1" applyBorder="1" applyAlignment="1">
      <alignment horizontal="center" wrapText="1"/>
    </xf>
    <xf numFmtId="0" fontId="2" fillId="0" borderId="3" xfId="0" applyFont="1" applyBorder="1" applyAlignment="1">
      <alignment wrapText="1"/>
    </xf>
    <xf numFmtId="0" fontId="2" fillId="3" borderId="3" xfId="0" applyFont="1" applyFill="1" applyBorder="1" applyAlignment="1">
      <alignment wrapText="1"/>
    </xf>
    <xf numFmtId="0" fontId="0" fillId="4" borderId="4" xfId="0" applyFill="1" applyBorder="1"/>
    <xf numFmtId="0" fontId="1" fillId="2" borderId="2" xfId="0" applyFont="1" applyFill="1" applyBorder="1" applyAlignment="1">
      <alignment horizontal="center" wrapText="1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7638D-01FB-4612-8B87-33EFDE5EF3FF}">
  <dimension ref="A1:U39"/>
  <sheetViews>
    <sheetView topLeftCell="F1" workbookViewId="0">
      <selection activeCell="K18" sqref="K18:O18"/>
    </sheetView>
  </sheetViews>
  <sheetFormatPr defaultRowHeight="14.4" x14ac:dyDescent="0.3"/>
  <cols>
    <col min="1" max="1" width="13.33203125" customWidth="1"/>
    <col min="2" max="2" width="14.33203125" customWidth="1"/>
    <col min="3" max="3" width="12.77734375" customWidth="1"/>
    <col min="4" max="4" width="13.109375" customWidth="1"/>
    <col min="5" max="5" width="11.5546875" customWidth="1"/>
    <col min="6" max="6" width="14" customWidth="1"/>
  </cols>
  <sheetData>
    <row r="1" spans="1:21" ht="27.6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21" ht="15" thickBot="1" x14ac:dyDescent="0.35">
      <c r="A2" s="2" t="s">
        <v>6</v>
      </c>
      <c r="B2" s="2" t="s">
        <v>7</v>
      </c>
      <c r="C2" s="2" t="s">
        <v>8</v>
      </c>
      <c r="D2" s="3">
        <v>1000</v>
      </c>
      <c r="E2" s="3">
        <v>30</v>
      </c>
      <c r="F2" s="2" t="s">
        <v>9</v>
      </c>
    </row>
    <row r="3" spans="1:21" ht="15" thickBot="1" x14ac:dyDescent="0.35">
      <c r="A3" s="4" t="s">
        <v>10</v>
      </c>
      <c r="B3" s="4" t="s">
        <v>11</v>
      </c>
      <c r="C3" s="4" t="s">
        <v>12</v>
      </c>
      <c r="D3" s="5">
        <v>80</v>
      </c>
      <c r="E3" s="5">
        <v>15</v>
      </c>
      <c r="F3" s="4" t="s">
        <v>13</v>
      </c>
    </row>
    <row r="4" spans="1:21" ht="16.2" thickBot="1" x14ac:dyDescent="0.35">
      <c r="A4" s="2" t="s">
        <v>14</v>
      </c>
      <c r="B4" s="2" t="s">
        <v>15</v>
      </c>
      <c r="C4" s="2" t="s">
        <v>16</v>
      </c>
      <c r="D4" s="3">
        <v>130</v>
      </c>
      <c r="E4" s="3">
        <v>40</v>
      </c>
      <c r="F4" s="2" t="s">
        <v>17</v>
      </c>
      <c r="H4" s="7"/>
      <c r="I4" s="6" t="s">
        <v>93</v>
      </c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1:21" ht="16.2" thickBot="1" x14ac:dyDescent="0.35">
      <c r="A5" s="4" t="s">
        <v>18</v>
      </c>
      <c r="B5" s="4" t="s">
        <v>19</v>
      </c>
      <c r="C5" s="4" t="s">
        <v>20</v>
      </c>
      <c r="D5" s="5">
        <v>900</v>
      </c>
      <c r="E5" s="5">
        <v>25</v>
      </c>
      <c r="F5" s="4" t="s">
        <v>9</v>
      </c>
      <c r="H5" s="7"/>
      <c r="I5" s="7"/>
      <c r="J5" s="8" t="s">
        <v>94</v>
      </c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6" spans="1:21" ht="16.2" thickBot="1" x14ac:dyDescent="0.35">
      <c r="A6" s="2" t="s">
        <v>21</v>
      </c>
      <c r="B6" s="2" t="s">
        <v>22</v>
      </c>
      <c r="C6" s="2" t="s">
        <v>23</v>
      </c>
      <c r="D6" s="3">
        <v>70</v>
      </c>
      <c r="E6" s="3">
        <v>20</v>
      </c>
      <c r="F6" s="2" t="s">
        <v>24</v>
      </c>
      <c r="H6" s="7"/>
      <c r="I6" s="7"/>
      <c r="J6" s="8" t="s">
        <v>95</v>
      </c>
      <c r="K6" s="7"/>
      <c r="L6" s="7"/>
      <c r="M6" s="7"/>
      <c r="N6" s="7"/>
      <c r="O6" s="7"/>
      <c r="P6" s="7"/>
      <c r="Q6" s="7"/>
      <c r="R6" s="7"/>
      <c r="S6" s="7"/>
      <c r="T6" s="7"/>
      <c r="U6" s="7"/>
    </row>
    <row r="7" spans="1:21" ht="16.2" thickBot="1" x14ac:dyDescent="0.35">
      <c r="A7" s="4" t="s">
        <v>25</v>
      </c>
      <c r="B7" s="4" t="s">
        <v>26</v>
      </c>
      <c r="C7" s="4" t="s">
        <v>27</v>
      </c>
      <c r="D7" s="5">
        <v>200</v>
      </c>
      <c r="E7" s="5">
        <v>45</v>
      </c>
      <c r="F7" s="4" t="s">
        <v>9</v>
      </c>
      <c r="H7" s="7"/>
      <c r="I7" s="7"/>
      <c r="J7" s="8" t="s">
        <v>96</v>
      </c>
      <c r="K7" s="7"/>
      <c r="L7" s="7"/>
      <c r="M7" s="7"/>
      <c r="N7" s="7"/>
      <c r="O7" s="7"/>
      <c r="P7" s="7"/>
      <c r="Q7" s="7"/>
      <c r="R7" s="7"/>
      <c r="S7" s="7"/>
      <c r="T7" s="7"/>
      <c r="U7" s="7"/>
    </row>
    <row r="8" spans="1:21" ht="15" thickBot="1" x14ac:dyDescent="0.35">
      <c r="A8" s="2" t="s">
        <v>28</v>
      </c>
      <c r="B8" s="2" t="s">
        <v>29</v>
      </c>
      <c r="C8" s="2" t="s">
        <v>30</v>
      </c>
      <c r="D8" s="3">
        <v>30</v>
      </c>
      <c r="E8" s="3">
        <v>5</v>
      </c>
      <c r="F8" s="2" t="s">
        <v>13</v>
      </c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</row>
    <row r="9" spans="1:21" ht="16.2" thickBot="1" x14ac:dyDescent="0.35">
      <c r="A9" s="4" t="s">
        <v>31</v>
      </c>
      <c r="B9" s="4" t="s">
        <v>32</v>
      </c>
      <c r="C9" s="4" t="s">
        <v>33</v>
      </c>
      <c r="D9" s="5">
        <v>90</v>
      </c>
      <c r="E9" s="5">
        <v>35</v>
      </c>
      <c r="F9" s="4" t="s">
        <v>17</v>
      </c>
      <c r="H9" s="7"/>
      <c r="I9" s="6" t="s">
        <v>102</v>
      </c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</row>
    <row r="10" spans="1:21" ht="16.2" thickBot="1" x14ac:dyDescent="0.35">
      <c r="A10" s="2" t="s">
        <v>34</v>
      </c>
      <c r="B10" s="2" t="s">
        <v>35</v>
      </c>
      <c r="C10" s="2" t="s">
        <v>36</v>
      </c>
      <c r="D10" s="3">
        <v>500</v>
      </c>
      <c r="E10" s="3">
        <v>50</v>
      </c>
      <c r="F10" s="2" t="s">
        <v>9</v>
      </c>
      <c r="H10" s="7"/>
      <c r="I10" s="7"/>
      <c r="J10" s="8" t="s">
        <v>103</v>
      </c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</row>
    <row r="11" spans="1:21" ht="16.2" thickBot="1" x14ac:dyDescent="0.35">
      <c r="A11" s="4" t="s">
        <v>37</v>
      </c>
      <c r="B11" s="4" t="s">
        <v>38</v>
      </c>
      <c r="C11" s="4" t="s">
        <v>39</v>
      </c>
      <c r="D11" s="5">
        <v>130</v>
      </c>
      <c r="E11" s="5">
        <v>10</v>
      </c>
      <c r="F11" s="4" t="s">
        <v>24</v>
      </c>
      <c r="H11" s="7"/>
      <c r="I11" s="7"/>
      <c r="J11" s="8" t="s">
        <v>104</v>
      </c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</row>
    <row r="12" spans="1:21" ht="15" thickBot="1" x14ac:dyDescent="0.35">
      <c r="A12" s="2" t="s">
        <v>40</v>
      </c>
      <c r="B12" s="2" t="s">
        <v>7</v>
      </c>
      <c r="C12" s="2" t="s">
        <v>41</v>
      </c>
      <c r="D12" s="3">
        <v>950</v>
      </c>
      <c r="E12" s="3">
        <v>25</v>
      </c>
      <c r="F12" s="2" t="s">
        <v>9</v>
      </c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</row>
    <row r="13" spans="1:21" ht="16.2" thickBot="1" x14ac:dyDescent="0.35">
      <c r="A13" s="4" t="s">
        <v>42</v>
      </c>
      <c r="B13" s="4" t="s">
        <v>11</v>
      </c>
      <c r="C13" s="4" t="s">
        <v>30</v>
      </c>
      <c r="D13" s="5">
        <v>90</v>
      </c>
      <c r="E13" s="5">
        <v>40</v>
      </c>
      <c r="F13" s="4" t="s">
        <v>13</v>
      </c>
      <c r="H13" s="7"/>
      <c r="I13" s="6" t="s">
        <v>105</v>
      </c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</row>
    <row r="14" spans="1:21" ht="16.2" thickBot="1" x14ac:dyDescent="0.35">
      <c r="A14" s="2" t="s">
        <v>43</v>
      </c>
      <c r="B14" s="2" t="s">
        <v>15</v>
      </c>
      <c r="C14" s="2" t="s">
        <v>44</v>
      </c>
      <c r="D14" s="3">
        <v>120</v>
      </c>
      <c r="E14" s="3">
        <v>35</v>
      </c>
      <c r="F14" s="2" t="s">
        <v>17</v>
      </c>
      <c r="H14" s="7"/>
      <c r="I14" s="7"/>
      <c r="J14" s="8" t="s">
        <v>106</v>
      </c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</row>
    <row r="15" spans="1:21" ht="15" thickBot="1" x14ac:dyDescent="0.35">
      <c r="A15" s="4" t="s">
        <v>45</v>
      </c>
      <c r="B15" s="4" t="s">
        <v>46</v>
      </c>
      <c r="C15" s="4" t="s">
        <v>47</v>
      </c>
      <c r="D15" s="5">
        <v>150</v>
      </c>
      <c r="E15" s="5">
        <v>15</v>
      </c>
      <c r="F15" s="4" t="s">
        <v>9</v>
      </c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</row>
    <row r="16" spans="1:21" ht="16.2" thickBot="1" x14ac:dyDescent="0.35">
      <c r="A16" s="2" t="s">
        <v>48</v>
      </c>
      <c r="B16" s="2" t="s">
        <v>26</v>
      </c>
      <c r="C16" s="2" t="s">
        <v>49</v>
      </c>
      <c r="D16" s="3">
        <v>250</v>
      </c>
      <c r="E16" s="3">
        <v>20</v>
      </c>
      <c r="F16" s="2" t="s">
        <v>9</v>
      </c>
      <c r="H16" s="7"/>
      <c r="I16" s="6" t="s">
        <v>107</v>
      </c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</row>
    <row r="17" spans="1:21" ht="16.2" thickBot="1" x14ac:dyDescent="0.35">
      <c r="A17" s="4" t="s">
        <v>50</v>
      </c>
      <c r="B17" s="4" t="s">
        <v>51</v>
      </c>
      <c r="C17" s="4" t="s">
        <v>52</v>
      </c>
      <c r="D17" s="5">
        <v>50</v>
      </c>
      <c r="E17" s="5">
        <v>35</v>
      </c>
      <c r="F17" s="4" t="s">
        <v>53</v>
      </c>
      <c r="H17" s="7"/>
      <c r="I17" s="7"/>
      <c r="J17" s="8" t="s">
        <v>108</v>
      </c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</row>
    <row r="18" spans="1:21" ht="16.2" thickBot="1" x14ac:dyDescent="0.35">
      <c r="A18" s="2" t="s">
        <v>54</v>
      </c>
      <c r="B18" s="2" t="s">
        <v>46</v>
      </c>
      <c r="C18" s="2" t="s">
        <v>55</v>
      </c>
      <c r="D18" s="3">
        <v>160</v>
      </c>
      <c r="E18" s="3">
        <v>15</v>
      </c>
      <c r="F18" s="2" t="s">
        <v>9</v>
      </c>
      <c r="H18" s="7"/>
      <c r="I18" s="7"/>
      <c r="J18" s="8" t="s">
        <v>109</v>
      </c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</row>
    <row r="19" spans="1:21" ht="15" thickBot="1" x14ac:dyDescent="0.35">
      <c r="A19" s="4" t="s">
        <v>56</v>
      </c>
      <c r="B19" s="4" t="s">
        <v>7</v>
      </c>
      <c r="C19" s="4" t="s">
        <v>57</v>
      </c>
      <c r="D19" s="5">
        <v>980</v>
      </c>
      <c r="E19" s="5">
        <v>10</v>
      </c>
      <c r="F19" s="4" t="s">
        <v>9</v>
      </c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</row>
    <row r="20" spans="1:21" ht="16.2" thickBot="1" x14ac:dyDescent="0.35">
      <c r="A20" s="2" t="s">
        <v>58</v>
      </c>
      <c r="B20" s="2" t="s">
        <v>59</v>
      </c>
      <c r="C20" s="2" t="s">
        <v>60</v>
      </c>
      <c r="D20" s="3">
        <v>150</v>
      </c>
      <c r="E20" s="3">
        <v>15</v>
      </c>
      <c r="F20" s="2" t="s">
        <v>13</v>
      </c>
      <c r="H20" s="7"/>
      <c r="I20" s="6" t="s">
        <v>110</v>
      </c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</row>
    <row r="21" spans="1:21" ht="16.2" thickBot="1" x14ac:dyDescent="0.35">
      <c r="A21" s="4" t="s">
        <v>61</v>
      </c>
      <c r="B21" s="4" t="s">
        <v>62</v>
      </c>
      <c r="C21" s="4" t="s">
        <v>63</v>
      </c>
      <c r="D21" s="5">
        <v>200</v>
      </c>
      <c r="E21" s="5">
        <v>10</v>
      </c>
      <c r="F21" s="4" t="s">
        <v>24</v>
      </c>
      <c r="H21" s="7"/>
      <c r="I21" s="7"/>
      <c r="J21" s="8" t="s">
        <v>111</v>
      </c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</row>
    <row r="22" spans="1:21" ht="16.2" thickBot="1" x14ac:dyDescent="0.35">
      <c r="A22" s="2" t="s">
        <v>64</v>
      </c>
      <c r="B22" s="2" t="s">
        <v>65</v>
      </c>
      <c r="C22" s="2" t="s">
        <v>66</v>
      </c>
      <c r="D22" s="3">
        <v>700</v>
      </c>
      <c r="E22" s="3">
        <v>50</v>
      </c>
      <c r="F22" s="2" t="s">
        <v>9</v>
      </c>
      <c r="H22" s="7"/>
      <c r="I22" s="7"/>
      <c r="J22" s="8" t="s">
        <v>112</v>
      </c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</row>
    <row r="23" spans="1:21" ht="16.2" thickBot="1" x14ac:dyDescent="0.35">
      <c r="A23" s="4" t="s">
        <v>67</v>
      </c>
      <c r="B23" s="4" t="s">
        <v>68</v>
      </c>
      <c r="C23" s="4" t="s">
        <v>69</v>
      </c>
      <c r="D23" s="5">
        <v>80</v>
      </c>
      <c r="E23" s="5">
        <v>20</v>
      </c>
      <c r="F23" s="4" t="s">
        <v>17</v>
      </c>
      <c r="H23" s="7"/>
      <c r="I23" s="7"/>
      <c r="J23" s="8" t="s">
        <v>113</v>
      </c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</row>
    <row r="24" spans="1:21" ht="15" thickBot="1" x14ac:dyDescent="0.35">
      <c r="A24" s="2" t="s">
        <v>70</v>
      </c>
      <c r="B24" s="2" t="s">
        <v>71</v>
      </c>
      <c r="C24" s="2" t="s">
        <v>72</v>
      </c>
      <c r="D24" s="3">
        <v>150</v>
      </c>
      <c r="E24" s="3">
        <v>30</v>
      </c>
      <c r="F24" s="2" t="s">
        <v>9</v>
      </c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</row>
    <row r="25" spans="1:21" ht="15" thickBot="1" x14ac:dyDescent="0.35">
      <c r="A25" s="4" t="s">
        <v>50</v>
      </c>
      <c r="B25" s="4" t="s">
        <v>51</v>
      </c>
      <c r="C25" s="4" t="s">
        <v>52</v>
      </c>
      <c r="D25" s="5">
        <v>50</v>
      </c>
      <c r="E25" s="5">
        <v>35</v>
      </c>
      <c r="F25" s="4" t="s">
        <v>53</v>
      </c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</row>
    <row r="26" spans="1:21" ht="15" thickBot="1" x14ac:dyDescent="0.35">
      <c r="A26" s="2" t="s">
        <v>73</v>
      </c>
      <c r="B26" s="2" t="s">
        <v>19</v>
      </c>
      <c r="C26" s="2" t="s">
        <v>74</v>
      </c>
      <c r="D26" s="3">
        <v>800</v>
      </c>
      <c r="E26" s="3">
        <v>45</v>
      </c>
      <c r="F26" s="2" t="s">
        <v>9</v>
      </c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</row>
    <row r="27" spans="1:21" ht="15" thickBot="1" x14ac:dyDescent="0.35">
      <c r="A27" s="4" t="s">
        <v>75</v>
      </c>
      <c r="B27" s="4" t="s">
        <v>59</v>
      </c>
      <c r="C27" s="4" t="s">
        <v>76</v>
      </c>
      <c r="D27" s="5">
        <v>130</v>
      </c>
      <c r="E27" s="5">
        <v>25</v>
      </c>
      <c r="F27" s="4" t="s">
        <v>13</v>
      </c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</row>
    <row r="28" spans="1:21" ht="15" thickBot="1" x14ac:dyDescent="0.35">
      <c r="A28" s="2" t="s">
        <v>77</v>
      </c>
      <c r="B28" s="2" t="s">
        <v>32</v>
      </c>
      <c r="C28" s="2" t="s">
        <v>78</v>
      </c>
      <c r="D28" s="3">
        <v>400</v>
      </c>
      <c r="E28" s="3">
        <v>40</v>
      </c>
      <c r="F28" s="2" t="s">
        <v>17</v>
      </c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</row>
    <row r="29" spans="1:21" ht="15" thickBot="1" x14ac:dyDescent="0.35">
      <c r="A29" s="4" t="s">
        <v>48</v>
      </c>
      <c r="B29" s="4" t="s">
        <v>26</v>
      </c>
      <c r="C29" s="4" t="s">
        <v>49</v>
      </c>
      <c r="D29" s="5">
        <v>230</v>
      </c>
      <c r="E29" s="5">
        <v>20</v>
      </c>
      <c r="F29" s="4" t="s">
        <v>9</v>
      </c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</row>
    <row r="30" spans="1:21" ht="15" thickBot="1" x14ac:dyDescent="0.35">
      <c r="A30" s="2" t="s">
        <v>79</v>
      </c>
      <c r="B30" s="2" t="s">
        <v>80</v>
      </c>
      <c r="C30" s="2" t="s">
        <v>81</v>
      </c>
      <c r="D30" s="3">
        <v>60</v>
      </c>
      <c r="E30" s="3">
        <v>30</v>
      </c>
      <c r="F30" s="2" t="s">
        <v>13</v>
      </c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</row>
    <row r="31" spans="1:21" ht="15" thickBot="1" x14ac:dyDescent="0.35">
      <c r="A31" s="4" t="s">
        <v>82</v>
      </c>
      <c r="B31" s="4" t="s">
        <v>83</v>
      </c>
      <c r="C31" s="4" t="s">
        <v>84</v>
      </c>
      <c r="D31" s="5">
        <v>40</v>
      </c>
      <c r="E31" s="5">
        <v>10</v>
      </c>
      <c r="F31" s="4" t="s">
        <v>17</v>
      </c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</row>
    <row r="32" spans="1:21" ht="15" thickBot="1" x14ac:dyDescent="0.35">
      <c r="A32" s="2" t="s">
        <v>85</v>
      </c>
      <c r="B32" s="2" t="s">
        <v>71</v>
      </c>
      <c r="C32" s="2" t="s">
        <v>86</v>
      </c>
      <c r="D32" s="3">
        <v>130</v>
      </c>
      <c r="E32" s="3">
        <v>5</v>
      </c>
      <c r="F32" s="2" t="s">
        <v>9</v>
      </c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</row>
    <row r="33" spans="1:21" ht="15" thickBot="1" x14ac:dyDescent="0.35">
      <c r="A33" s="4" t="s">
        <v>87</v>
      </c>
      <c r="B33" s="4" t="s">
        <v>88</v>
      </c>
      <c r="C33" s="4" t="s">
        <v>89</v>
      </c>
      <c r="D33" s="5">
        <v>50</v>
      </c>
      <c r="E33" s="5">
        <v>50</v>
      </c>
      <c r="F33" s="4" t="s">
        <v>13</v>
      </c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</row>
    <row r="34" spans="1:21" ht="15" thickBot="1" x14ac:dyDescent="0.35">
      <c r="A34" s="2" t="s">
        <v>40</v>
      </c>
      <c r="B34" s="2" t="s">
        <v>7</v>
      </c>
      <c r="C34" s="2" t="s">
        <v>41</v>
      </c>
      <c r="D34" s="3">
        <v>950</v>
      </c>
      <c r="E34" s="3">
        <v>25</v>
      </c>
      <c r="F34" s="2" t="s">
        <v>9</v>
      </c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</row>
    <row r="35" spans="1:21" ht="15" thickBot="1" x14ac:dyDescent="0.35">
      <c r="A35" s="4" t="s">
        <v>90</v>
      </c>
      <c r="B35" s="4" t="s">
        <v>91</v>
      </c>
      <c r="C35" s="4" t="s">
        <v>92</v>
      </c>
      <c r="D35" s="5">
        <v>100</v>
      </c>
      <c r="E35" s="5">
        <v>20</v>
      </c>
      <c r="F35" s="4" t="s">
        <v>53</v>
      </c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</row>
    <row r="36" spans="1:21" x14ac:dyDescent="0.3"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</row>
    <row r="37" spans="1:21" x14ac:dyDescent="0.3"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</row>
    <row r="38" spans="1:21" x14ac:dyDescent="0.3"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</row>
    <row r="39" spans="1:21" x14ac:dyDescent="0.3"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0890D-F732-4F09-888E-BAB594368BD9}">
  <dimension ref="A1:N35"/>
  <sheetViews>
    <sheetView tabSelected="1" workbookViewId="0">
      <selection activeCell="L31" sqref="L31"/>
    </sheetView>
  </sheetViews>
  <sheetFormatPr defaultRowHeight="14.4" x14ac:dyDescent="0.3"/>
  <cols>
    <col min="1" max="1" width="15.21875" customWidth="1"/>
    <col min="2" max="2" width="16.88671875" customWidth="1"/>
    <col min="3" max="3" width="15.109375" customWidth="1"/>
    <col min="4" max="4" width="16.88671875" customWidth="1"/>
    <col min="5" max="5" width="12.77734375" customWidth="1"/>
    <col min="6" max="6" width="13.44140625" customWidth="1"/>
    <col min="7" max="8" width="13.6640625" customWidth="1"/>
    <col min="9" max="10" width="16.21875" customWidth="1"/>
    <col min="11" max="11" width="5.5546875" customWidth="1"/>
    <col min="12" max="12" width="42.44140625" customWidth="1"/>
    <col min="13" max="13" width="19.77734375" customWidth="1"/>
  </cols>
  <sheetData>
    <row r="1" spans="1:14" ht="54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3" t="s">
        <v>5</v>
      </c>
      <c r="G1" s="17" t="s">
        <v>114</v>
      </c>
      <c r="H1" s="17" t="s">
        <v>117</v>
      </c>
      <c r="I1" s="17" t="s">
        <v>118</v>
      </c>
      <c r="J1" s="17" t="s">
        <v>119</v>
      </c>
    </row>
    <row r="2" spans="1:14" ht="15" thickBot="1" x14ac:dyDescent="0.35">
      <c r="A2" s="2" t="s">
        <v>6</v>
      </c>
      <c r="B2" s="2" t="s">
        <v>7</v>
      </c>
      <c r="C2" s="2" t="s">
        <v>8</v>
      </c>
      <c r="D2" s="3">
        <v>1000</v>
      </c>
      <c r="E2" s="3">
        <v>30</v>
      </c>
      <c r="F2" s="14" t="s">
        <v>9</v>
      </c>
      <c r="G2" s="18" t="str">
        <f>IF(D2&gt;=500,"High price","standard price")</f>
        <v>High price</v>
      </c>
      <c r="H2" s="18" t="str">
        <f>LEFT(A2,2)</f>
        <v>28</v>
      </c>
      <c r="I2" s="18" t="str">
        <f>RIGHT(A2,2)</f>
        <v>US</v>
      </c>
      <c r="J2" s="18" t="str">
        <f>MID(A2,4,3)</f>
        <v>JAN</v>
      </c>
    </row>
    <row r="3" spans="1:14" ht="16.2" thickBot="1" x14ac:dyDescent="0.35">
      <c r="A3" s="4" t="s">
        <v>10</v>
      </c>
      <c r="B3" s="4" t="s">
        <v>11</v>
      </c>
      <c r="C3" s="4" t="s">
        <v>12</v>
      </c>
      <c r="D3" s="5">
        <v>80</v>
      </c>
      <c r="E3" s="5">
        <v>15</v>
      </c>
      <c r="F3" s="15" t="s">
        <v>13</v>
      </c>
      <c r="G3" s="18" t="str">
        <f t="shared" ref="G3:G35" si="0">IF(D3&gt;=500,"High price","standard price")</f>
        <v>standard price</v>
      </c>
      <c r="H3" s="18" t="str">
        <f t="shared" ref="H3:H35" si="1">LEFT(A3,2)</f>
        <v>15</v>
      </c>
      <c r="I3" s="18" t="str">
        <f t="shared" ref="I3:I35" si="2">RIGHT(A3,2)</f>
        <v>US</v>
      </c>
      <c r="J3" s="18" t="str">
        <f t="shared" ref="J3:J35" si="3">MID(A3,4,3)</f>
        <v>FEB</v>
      </c>
      <c r="K3" s="6"/>
      <c r="L3" s="7"/>
      <c r="M3" s="7"/>
      <c r="N3" s="7"/>
    </row>
    <row r="4" spans="1:14" ht="16.2" thickBot="1" x14ac:dyDescent="0.35">
      <c r="A4" s="2" t="s">
        <v>14</v>
      </c>
      <c r="B4" s="2" t="s">
        <v>15</v>
      </c>
      <c r="C4" s="2" t="s">
        <v>16</v>
      </c>
      <c r="D4" s="3">
        <v>130</v>
      </c>
      <c r="E4" s="3">
        <v>40</v>
      </c>
      <c r="F4" s="14" t="s">
        <v>17</v>
      </c>
      <c r="G4" s="18" t="str">
        <f t="shared" si="0"/>
        <v>standard price</v>
      </c>
      <c r="H4" s="18" t="str">
        <f t="shared" si="1"/>
        <v>03</v>
      </c>
      <c r="I4" s="18" t="str">
        <f t="shared" si="2"/>
        <v>US</v>
      </c>
      <c r="J4" s="18" t="str">
        <f t="shared" si="3"/>
        <v>MAR</v>
      </c>
      <c r="K4" s="7"/>
      <c r="L4" s="8"/>
      <c r="M4" s="7"/>
      <c r="N4" s="7"/>
    </row>
    <row r="5" spans="1:14" ht="16.2" thickBot="1" x14ac:dyDescent="0.35">
      <c r="A5" s="4" t="s">
        <v>18</v>
      </c>
      <c r="B5" s="4" t="s">
        <v>19</v>
      </c>
      <c r="C5" s="4" t="s">
        <v>20</v>
      </c>
      <c r="D5" s="5">
        <v>900</v>
      </c>
      <c r="E5" s="5">
        <v>25</v>
      </c>
      <c r="F5" s="15" t="s">
        <v>9</v>
      </c>
      <c r="G5" s="18" t="str">
        <f t="shared" si="0"/>
        <v>High price</v>
      </c>
      <c r="H5" s="18" t="str">
        <f t="shared" si="1"/>
        <v>11</v>
      </c>
      <c r="I5" s="18" t="str">
        <f t="shared" si="2"/>
        <v>US</v>
      </c>
      <c r="J5" s="18" t="str">
        <f t="shared" si="3"/>
        <v>APR</v>
      </c>
      <c r="K5" s="7"/>
      <c r="L5" s="8"/>
      <c r="M5" s="7"/>
      <c r="N5" s="7"/>
    </row>
    <row r="6" spans="1:14" ht="16.2" thickBot="1" x14ac:dyDescent="0.35">
      <c r="A6" s="2" t="s">
        <v>21</v>
      </c>
      <c r="B6" s="2" t="s">
        <v>22</v>
      </c>
      <c r="C6" s="2" t="s">
        <v>23</v>
      </c>
      <c r="D6" s="3">
        <v>70</v>
      </c>
      <c r="E6" s="3">
        <v>20</v>
      </c>
      <c r="F6" s="14" t="s">
        <v>24</v>
      </c>
      <c r="G6" s="18" t="str">
        <f t="shared" si="0"/>
        <v>standard price</v>
      </c>
      <c r="H6" s="18" t="str">
        <f t="shared" si="1"/>
        <v>22</v>
      </c>
      <c r="I6" s="18" t="str">
        <f t="shared" si="2"/>
        <v>US</v>
      </c>
      <c r="J6" s="18" t="str">
        <f t="shared" si="3"/>
        <v>MAY</v>
      </c>
      <c r="K6" s="7"/>
      <c r="L6" s="8"/>
      <c r="M6" s="7"/>
      <c r="N6" s="7"/>
    </row>
    <row r="7" spans="1:14" ht="15" thickBot="1" x14ac:dyDescent="0.35">
      <c r="A7" s="4" t="s">
        <v>25</v>
      </c>
      <c r="B7" s="4" t="s">
        <v>26</v>
      </c>
      <c r="C7" s="4" t="s">
        <v>27</v>
      </c>
      <c r="D7" s="5">
        <v>200</v>
      </c>
      <c r="E7" s="5">
        <v>45</v>
      </c>
      <c r="F7" s="15" t="s">
        <v>9</v>
      </c>
      <c r="G7" s="18" t="str">
        <f t="shared" si="0"/>
        <v>standard price</v>
      </c>
      <c r="H7" s="18" t="str">
        <f t="shared" si="1"/>
        <v>07</v>
      </c>
      <c r="I7" s="18" t="str">
        <f t="shared" si="2"/>
        <v>UK</v>
      </c>
      <c r="J7" s="18" t="str">
        <f t="shared" si="3"/>
        <v>JUN</v>
      </c>
    </row>
    <row r="8" spans="1:14" ht="15" thickBot="1" x14ac:dyDescent="0.35">
      <c r="A8" s="2" t="s">
        <v>28</v>
      </c>
      <c r="B8" s="2" t="s">
        <v>29</v>
      </c>
      <c r="C8" s="2" t="s">
        <v>30</v>
      </c>
      <c r="D8" s="3">
        <v>30</v>
      </c>
      <c r="E8" s="3">
        <v>5</v>
      </c>
      <c r="F8" s="14" t="s">
        <v>13</v>
      </c>
      <c r="G8" s="18" t="str">
        <f t="shared" si="0"/>
        <v>standard price</v>
      </c>
      <c r="H8" s="18" t="str">
        <f t="shared" si="1"/>
        <v>19</v>
      </c>
      <c r="I8" s="18" t="str">
        <f t="shared" si="2"/>
        <v>UK</v>
      </c>
      <c r="J8" s="18" t="str">
        <f t="shared" si="3"/>
        <v>JUL</v>
      </c>
    </row>
    <row r="9" spans="1:14" ht="16.2" thickBot="1" x14ac:dyDescent="0.35">
      <c r="A9" s="4" t="s">
        <v>31</v>
      </c>
      <c r="B9" s="4" t="s">
        <v>32</v>
      </c>
      <c r="C9" s="4" t="s">
        <v>33</v>
      </c>
      <c r="D9" s="5">
        <v>90</v>
      </c>
      <c r="E9" s="5">
        <v>35</v>
      </c>
      <c r="F9" s="15" t="s">
        <v>17</v>
      </c>
      <c r="G9" s="18" t="str">
        <f t="shared" si="0"/>
        <v>standard price</v>
      </c>
      <c r="H9" s="18" t="str">
        <f t="shared" si="1"/>
        <v>23</v>
      </c>
      <c r="I9" s="18" t="str">
        <f t="shared" si="2"/>
        <v>UK</v>
      </c>
      <c r="J9" s="18" t="str">
        <f t="shared" si="3"/>
        <v>AUG</v>
      </c>
      <c r="K9" s="16">
        <v>1</v>
      </c>
      <c r="L9" s="10" t="s">
        <v>97</v>
      </c>
      <c r="M9" s="11">
        <f>SUM(D2:D35)</f>
        <v>10100</v>
      </c>
    </row>
    <row r="10" spans="1:14" ht="16.2" thickBot="1" x14ac:dyDescent="0.35">
      <c r="A10" s="2" t="s">
        <v>34</v>
      </c>
      <c r="B10" s="2" t="s">
        <v>35</v>
      </c>
      <c r="C10" s="2" t="s">
        <v>36</v>
      </c>
      <c r="D10" s="3">
        <v>500</v>
      </c>
      <c r="E10" s="3">
        <v>50</v>
      </c>
      <c r="F10" s="14" t="s">
        <v>9</v>
      </c>
      <c r="G10" s="18" t="str">
        <f t="shared" si="0"/>
        <v>High price</v>
      </c>
      <c r="H10" s="18" t="str">
        <f t="shared" si="1"/>
        <v>05</v>
      </c>
      <c r="I10" s="18" t="str">
        <f t="shared" si="2"/>
        <v>UK</v>
      </c>
      <c r="J10" s="18" t="str">
        <f t="shared" si="3"/>
        <v>SEP</v>
      </c>
      <c r="K10" s="16"/>
      <c r="L10" s="10" t="s">
        <v>98</v>
      </c>
      <c r="M10" s="9">
        <f>COUNTA(B2:B35)</f>
        <v>34</v>
      </c>
    </row>
    <row r="11" spans="1:14" ht="16.2" thickBot="1" x14ac:dyDescent="0.35">
      <c r="A11" s="4" t="s">
        <v>37</v>
      </c>
      <c r="B11" s="4" t="s">
        <v>38</v>
      </c>
      <c r="C11" s="4" t="s">
        <v>39</v>
      </c>
      <c r="D11" s="5">
        <v>130</v>
      </c>
      <c r="E11" s="5">
        <v>10</v>
      </c>
      <c r="F11" s="15" t="s">
        <v>24</v>
      </c>
      <c r="G11" s="18" t="str">
        <f t="shared" si="0"/>
        <v>standard price</v>
      </c>
      <c r="H11" s="18" t="str">
        <f t="shared" si="1"/>
        <v>14</v>
      </c>
      <c r="I11" s="18" t="str">
        <f t="shared" si="2"/>
        <v>UK</v>
      </c>
      <c r="J11" s="18" t="str">
        <f t="shared" si="3"/>
        <v>OCT</v>
      </c>
      <c r="K11" s="16"/>
      <c r="L11" s="10" t="s">
        <v>99</v>
      </c>
      <c r="M11" s="11">
        <f>AVERAGE(D2:D35)</f>
        <v>297.05882352941177</v>
      </c>
    </row>
    <row r="12" spans="1:14" ht="15" thickBot="1" x14ac:dyDescent="0.35">
      <c r="A12" s="2" t="s">
        <v>40</v>
      </c>
      <c r="B12" s="2" t="s">
        <v>7</v>
      </c>
      <c r="C12" s="2" t="s">
        <v>41</v>
      </c>
      <c r="D12" s="3">
        <v>950</v>
      </c>
      <c r="E12" s="3">
        <v>25</v>
      </c>
      <c r="F12" s="14" t="s">
        <v>9</v>
      </c>
      <c r="G12" s="18" t="str">
        <f t="shared" si="0"/>
        <v>High price</v>
      </c>
      <c r="H12" s="18" t="str">
        <f t="shared" si="1"/>
        <v>17</v>
      </c>
      <c r="I12" s="18" t="str">
        <f t="shared" si="2"/>
        <v>IN</v>
      </c>
      <c r="J12" s="18" t="str">
        <f t="shared" si="3"/>
        <v>JUN</v>
      </c>
      <c r="K12" s="16"/>
      <c r="L12" s="9"/>
      <c r="M12" s="9"/>
    </row>
    <row r="13" spans="1:14" ht="16.2" thickBot="1" x14ac:dyDescent="0.35">
      <c r="A13" s="4" t="s">
        <v>42</v>
      </c>
      <c r="B13" s="4" t="s">
        <v>11</v>
      </c>
      <c r="C13" s="4" t="s">
        <v>30</v>
      </c>
      <c r="D13" s="5">
        <v>90</v>
      </c>
      <c r="E13" s="5">
        <v>40</v>
      </c>
      <c r="F13" s="15" t="s">
        <v>13</v>
      </c>
      <c r="G13" s="18" t="str">
        <f t="shared" si="0"/>
        <v>standard price</v>
      </c>
      <c r="H13" s="18" t="str">
        <f t="shared" si="1"/>
        <v>25</v>
      </c>
      <c r="I13" s="18" t="str">
        <f t="shared" si="2"/>
        <v>AU</v>
      </c>
      <c r="J13" s="18" t="str">
        <f t="shared" si="3"/>
        <v>NOV</v>
      </c>
      <c r="K13" s="16">
        <v>2</v>
      </c>
      <c r="L13" s="10" t="s">
        <v>100</v>
      </c>
      <c r="M13" s="11">
        <f>MIN(D2:D35)</f>
        <v>30</v>
      </c>
    </row>
    <row r="14" spans="1:14" ht="16.2" thickBot="1" x14ac:dyDescent="0.35">
      <c r="A14" s="2" t="s">
        <v>43</v>
      </c>
      <c r="B14" s="2" t="s">
        <v>15</v>
      </c>
      <c r="C14" s="2" t="s">
        <v>44</v>
      </c>
      <c r="D14" s="3">
        <v>120</v>
      </c>
      <c r="E14" s="3">
        <v>35</v>
      </c>
      <c r="F14" s="14" t="s">
        <v>17</v>
      </c>
      <c r="G14" s="18" t="str">
        <f t="shared" si="0"/>
        <v>standard price</v>
      </c>
      <c r="H14" s="18" t="str">
        <f t="shared" si="1"/>
        <v>08</v>
      </c>
      <c r="I14" s="18" t="str">
        <f t="shared" si="2"/>
        <v>DE</v>
      </c>
      <c r="J14" s="18" t="str">
        <f t="shared" si="3"/>
        <v>DEC</v>
      </c>
      <c r="K14" s="16"/>
      <c r="L14" s="10" t="s">
        <v>101</v>
      </c>
      <c r="M14" s="11">
        <f>MAX(D2:D35)</f>
        <v>1000</v>
      </c>
    </row>
    <row r="15" spans="1:14" ht="15" thickBot="1" x14ac:dyDescent="0.35">
      <c r="A15" s="4" t="s">
        <v>45</v>
      </c>
      <c r="B15" s="4" t="s">
        <v>46</v>
      </c>
      <c r="C15" s="4" t="s">
        <v>47</v>
      </c>
      <c r="D15" s="5">
        <v>150</v>
      </c>
      <c r="E15" s="5">
        <v>15</v>
      </c>
      <c r="F15" s="15" t="s">
        <v>9</v>
      </c>
      <c r="G15" s="18" t="str">
        <f t="shared" si="0"/>
        <v>standard price</v>
      </c>
      <c r="H15" s="18" t="str">
        <f t="shared" si="1"/>
        <v>18</v>
      </c>
      <c r="I15" s="18" t="str">
        <f t="shared" si="2"/>
        <v>CA</v>
      </c>
      <c r="J15" s="18" t="str">
        <f t="shared" si="3"/>
        <v>FEB</v>
      </c>
      <c r="K15" s="16"/>
      <c r="L15" s="9"/>
      <c r="M15" s="9"/>
    </row>
    <row r="16" spans="1:14" ht="16.2" thickBot="1" x14ac:dyDescent="0.35">
      <c r="A16" s="2" t="s">
        <v>48</v>
      </c>
      <c r="B16" s="2" t="s">
        <v>26</v>
      </c>
      <c r="C16" s="2" t="s">
        <v>49</v>
      </c>
      <c r="D16" s="3">
        <v>250</v>
      </c>
      <c r="E16" s="3">
        <v>20</v>
      </c>
      <c r="F16" s="14" t="s">
        <v>9</v>
      </c>
      <c r="G16" s="18" t="str">
        <f t="shared" si="0"/>
        <v>standard price</v>
      </c>
      <c r="H16" s="18" t="str">
        <f t="shared" si="1"/>
        <v>16</v>
      </c>
      <c r="I16" s="18" t="str">
        <f t="shared" si="2"/>
        <v>ES</v>
      </c>
      <c r="J16" s="18" t="str">
        <f t="shared" si="3"/>
        <v>APR</v>
      </c>
      <c r="K16" s="16">
        <v>4</v>
      </c>
      <c r="L16" s="10" t="s">
        <v>116</v>
      </c>
      <c r="M16" s="9">
        <f>SUMIF(F2:F35,"Electronics",D2:D35)</f>
        <v>8050</v>
      </c>
    </row>
    <row r="17" spans="1:14" ht="15" thickBot="1" x14ac:dyDescent="0.35">
      <c r="A17" s="4" t="s">
        <v>50</v>
      </c>
      <c r="B17" s="4" t="s">
        <v>51</v>
      </c>
      <c r="C17" s="4" t="s">
        <v>52</v>
      </c>
      <c r="D17" s="5">
        <v>50</v>
      </c>
      <c r="E17" s="5">
        <v>35</v>
      </c>
      <c r="F17" s="15" t="s">
        <v>53</v>
      </c>
      <c r="G17" s="18" t="str">
        <f t="shared" si="0"/>
        <v>standard price</v>
      </c>
      <c r="H17" s="18" t="str">
        <f t="shared" si="1"/>
        <v>21</v>
      </c>
      <c r="I17" s="18" t="str">
        <f t="shared" si="2"/>
        <v>CA</v>
      </c>
      <c r="J17" s="18" t="str">
        <f t="shared" si="3"/>
        <v>AUG</v>
      </c>
      <c r="K17" s="16"/>
      <c r="L17" s="12" t="s">
        <v>115</v>
      </c>
      <c r="M17" s="12">
        <f>COUNTIF(D2:D35,"&lt;100")</f>
        <v>11</v>
      </c>
      <c r="N17" s="7"/>
    </row>
    <row r="18" spans="1:14" ht="15" thickBot="1" x14ac:dyDescent="0.35">
      <c r="A18" s="2" t="s">
        <v>54</v>
      </c>
      <c r="B18" s="2" t="s">
        <v>46</v>
      </c>
      <c r="C18" s="2" t="s">
        <v>55</v>
      </c>
      <c r="D18" s="3">
        <v>160</v>
      </c>
      <c r="E18" s="3">
        <v>15</v>
      </c>
      <c r="F18" s="14" t="s">
        <v>9</v>
      </c>
      <c r="G18" s="18" t="str">
        <f t="shared" si="0"/>
        <v>standard price</v>
      </c>
      <c r="H18" s="18" t="str">
        <f t="shared" si="1"/>
        <v>20</v>
      </c>
      <c r="I18" s="18" t="str">
        <f t="shared" si="2"/>
        <v>CN</v>
      </c>
      <c r="J18" s="18" t="str">
        <f t="shared" si="3"/>
        <v>AUG</v>
      </c>
    </row>
    <row r="19" spans="1:14" ht="15" thickBot="1" x14ac:dyDescent="0.35">
      <c r="A19" s="4" t="s">
        <v>56</v>
      </c>
      <c r="B19" s="4" t="s">
        <v>7</v>
      </c>
      <c r="C19" s="4" t="s">
        <v>57</v>
      </c>
      <c r="D19" s="5">
        <v>980</v>
      </c>
      <c r="E19" s="5">
        <v>10</v>
      </c>
      <c r="F19" s="15" t="s">
        <v>9</v>
      </c>
      <c r="G19" s="18" t="str">
        <f t="shared" si="0"/>
        <v>High price</v>
      </c>
      <c r="H19" s="18" t="str">
        <f t="shared" si="1"/>
        <v>27</v>
      </c>
      <c r="I19" s="18" t="str">
        <f t="shared" si="2"/>
        <v>IT</v>
      </c>
      <c r="J19" s="18" t="str">
        <f t="shared" si="3"/>
        <v>JAN</v>
      </c>
    </row>
    <row r="20" spans="1:14" ht="15" thickBot="1" x14ac:dyDescent="0.35">
      <c r="A20" s="2" t="s">
        <v>58</v>
      </c>
      <c r="B20" s="2" t="s">
        <v>59</v>
      </c>
      <c r="C20" s="2" t="s">
        <v>60</v>
      </c>
      <c r="D20" s="3">
        <v>150</v>
      </c>
      <c r="E20" s="3">
        <v>15</v>
      </c>
      <c r="F20" s="14" t="s">
        <v>13</v>
      </c>
      <c r="G20" s="18" t="str">
        <f t="shared" si="0"/>
        <v>standard price</v>
      </c>
      <c r="H20" s="18" t="str">
        <f t="shared" si="1"/>
        <v>01</v>
      </c>
      <c r="I20" s="18" t="str">
        <f t="shared" si="2"/>
        <v>UK</v>
      </c>
      <c r="J20" s="18" t="str">
        <f t="shared" si="3"/>
        <v>MAR</v>
      </c>
    </row>
    <row r="21" spans="1:14" ht="15" thickBot="1" x14ac:dyDescent="0.35">
      <c r="A21" s="4" t="s">
        <v>61</v>
      </c>
      <c r="B21" s="4" t="s">
        <v>62</v>
      </c>
      <c r="C21" s="4" t="s">
        <v>63</v>
      </c>
      <c r="D21" s="5">
        <v>200</v>
      </c>
      <c r="E21" s="5">
        <v>10</v>
      </c>
      <c r="F21" s="15" t="s">
        <v>24</v>
      </c>
      <c r="G21" s="18" t="str">
        <f t="shared" si="0"/>
        <v>standard price</v>
      </c>
      <c r="H21" s="18" t="str">
        <f t="shared" si="1"/>
        <v>14</v>
      </c>
      <c r="I21" s="18" t="str">
        <f t="shared" si="2"/>
        <v>US</v>
      </c>
      <c r="J21" s="18" t="str">
        <f t="shared" si="3"/>
        <v>AUG</v>
      </c>
    </row>
    <row r="22" spans="1:14" ht="15" thickBot="1" x14ac:dyDescent="0.35">
      <c r="A22" s="2" t="s">
        <v>64</v>
      </c>
      <c r="B22" s="2" t="s">
        <v>65</v>
      </c>
      <c r="C22" s="2" t="s">
        <v>66</v>
      </c>
      <c r="D22" s="3">
        <v>700</v>
      </c>
      <c r="E22" s="3">
        <v>50</v>
      </c>
      <c r="F22" s="14" t="s">
        <v>9</v>
      </c>
      <c r="G22" s="18" t="str">
        <f t="shared" si="0"/>
        <v>High price</v>
      </c>
      <c r="H22" s="18" t="str">
        <f t="shared" si="1"/>
        <v>14</v>
      </c>
      <c r="I22" s="18" t="str">
        <f t="shared" si="2"/>
        <v>RU</v>
      </c>
      <c r="J22" s="18" t="str">
        <f t="shared" si="3"/>
        <v>MAY</v>
      </c>
    </row>
    <row r="23" spans="1:14" ht="15" thickBot="1" x14ac:dyDescent="0.35">
      <c r="A23" s="4" t="s">
        <v>67</v>
      </c>
      <c r="B23" s="4" t="s">
        <v>68</v>
      </c>
      <c r="C23" s="4" t="s">
        <v>69</v>
      </c>
      <c r="D23" s="5">
        <v>80</v>
      </c>
      <c r="E23" s="5">
        <v>20</v>
      </c>
      <c r="F23" s="15" t="s">
        <v>17</v>
      </c>
      <c r="G23" s="18" t="str">
        <f t="shared" si="0"/>
        <v>standard price</v>
      </c>
      <c r="H23" s="18" t="str">
        <f t="shared" si="1"/>
        <v>09</v>
      </c>
      <c r="I23" s="18" t="str">
        <f t="shared" si="2"/>
        <v>CA</v>
      </c>
      <c r="J23" s="18" t="str">
        <f t="shared" si="3"/>
        <v>JAN</v>
      </c>
    </row>
    <row r="24" spans="1:14" ht="15" thickBot="1" x14ac:dyDescent="0.35">
      <c r="A24" s="2" t="s">
        <v>70</v>
      </c>
      <c r="B24" s="2" t="s">
        <v>71</v>
      </c>
      <c r="C24" s="2" t="s">
        <v>72</v>
      </c>
      <c r="D24" s="3">
        <v>150</v>
      </c>
      <c r="E24" s="3">
        <v>30</v>
      </c>
      <c r="F24" s="14" t="s">
        <v>9</v>
      </c>
      <c r="G24" s="18" t="str">
        <f t="shared" si="0"/>
        <v>standard price</v>
      </c>
      <c r="H24" s="18" t="str">
        <f t="shared" si="1"/>
        <v>19</v>
      </c>
      <c r="I24" s="18" t="str">
        <f t="shared" si="2"/>
        <v>BR</v>
      </c>
      <c r="J24" s="18" t="str">
        <f t="shared" si="3"/>
        <v>JUL</v>
      </c>
    </row>
    <row r="25" spans="1:14" ht="15" thickBot="1" x14ac:dyDescent="0.35">
      <c r="A25" s="4" t="s">
        <v>50</v>
      </c>
      <c r="B25" s="4" t="s">
        <v>51</v>
      </c>
      <c r="C25" s="4" t="s">
        <v>52</v>
      </c>
      <c r="D25" s="5">
        <v>50</v>
      </c>
      <c r="E25" s="5">
        <v>35</v>
      </c>
      <c r="F25" s="15" t="s">
        <v>53</v>
      </c>
      <c r="G25" s="18" t="str">
        <f t="shared" si="0"/>
        <v>standard price</v>
      </c>
      <c r="H25" s="18" t="str">
        <f t="shared" si="1"/>
        <v>21</v>
      </c>
      <c r="I25" s="18" t="str">
        <f t="shared" si="2"/>
        <v>CA</v>
      </c>
      <c r="J25" s="18" t="str">
        <f t="shared" si="3"/>
        <v>AUG</v>
      </c>
    </row>
    <row r="26" spans="1:14" ht="15" thickBot="1" x14ac:dyDescent="0.35">
      <c r="A26" s="2" t="s">
        <v>73</v>
      </c>
      <c r="B26" s="2" t="s">
        <v>19</v>
      </c>
      <c r="C26" s="2" t="s">
        <v>74</v>
      </c>
      <c r="D26" s="3">
        <v>800</v>
      </c>
      <c r="E26" s="3">
        <v>45</v>
      </c>
      <c r="F26" s="14" t="s">
        <v>9</v>
      </c>
      <c r="G26" s="18" t="str">
        <f t="shared" si="0"/>
        <v>High price</v>
      </c>
      <c r="H26" s="18" t="str">
        <f t="shared" si="1"/>
        <v>29</v>
      </c>
      <c r="I26" s="18" t="str">
        <f t="shared" si="2"/>
        <v>CA</v>
      </c>
      <c r="J26" s="18" t="str">
        <f t="shared" si="3"/>
        <v>SEP</v>
      </c>
    </row>
    <row r="27" spans="1:14" ht="15" thickBot="1" x14ac:dyDescent="0.35">
      <c r="A27" s="4" t="s">
        <v>75</v>
      </c>
      <c r="B27" s="4" t="s">
        <v>59</v>
      </c>
      <c r="C27" s="4" t="s">
        <v>76</v>
      </c>
      <c r="D27" s="5">
        <v>130</v>
      </c>
      <c r="E27" s="5">
        <v>25</v>
      </c>
      <c r="F27" s="15" t="s">
        <v>13</v>
      </c>
      <c r="G27" s="18" t="str">
        <f t="shared" si="0"/>
        <v>standard price</v>
      </c>
      <c r="H27" s="18" t="str">
        <f t="shared" si="1"/>
        <v>03</v>
      </c>
      <c r="I27" s="18" t="str">
        <f t="shared" si="2"/>
        <v>CA</v>
      </c>
      <c r="J27" s="18" t="str">
        <f t="shared" si="3"/>
        <v>JUN</v>
      </c>
    </row>
    <row r="28" spans="1:14" ht="15" thickBot="1" x14ac:dyDescent="0.35">
      <c r="A28" s="2" t="s">
        <v>77</v>
      </c>
      <c r="B28" s="2" t="s">
        <v>32</v>
      </c>
      <c r="C28" s="2" t="s">
        <v>78</v>
      </c>
      <c r="D28" s="3">
        <v>400</v>
      </c>
      <c r="E28" s="3">
        <v>40</v>
      </c>
      <c r="F28" s="14" t="s">
        <v>17</v>
      </c>
      <c r="G28" s="18" t="str">
        <f t="shared" si="0"/>
        <v>standard price</v>
      </c>
      <c r="H28" s="18" t="str">
        <f t="shared" si="1"/>
        <v>11</v>
      </c>
      <c r="I28" s="18" t="str">
        <f t="shared" si="2"/>
        <v>CA</v>
      </c>
      <c r="J28" s="18" t="str">
        <f t="shared" si="3"/>
        <v>JUL</v>
      </c>
    </row>
    <row r="29" spans="1:14" ht="15" thickBot="1" x14ac:dyDescent="0.35">
      <c r="A29" s="4" t="s">
        <v>48</v>
      </c>
      <c r="B29" s="4" t="s">
        <v>26</v>
      </c>
      <c r="C29" s="4" t="s">
        <v>49</v>
      </c>
      <c r="D29" s="5">
        <v>230</v>
      </c>
      <c r="E29" s="5">
        <v>20</v>
      </c>
      <c r="F29" s="15" t="s">
        <v>9</v>
      </c>
      <c r="G29" s="18" t="str">
        <f t="shared" si="0"/>
        <v>standard price</v>
      </c>
      <c r="H29" s="18" t="str">
        <f t="shared" si="1"/>
        <v>16</v>
      </c>
      <c r="I29" s="18" t="str">
        <f t="shared" si="2"/>
        <v>ES</v>
      </c>
      <c r="J29" s="18" t="str">
        <f t="shared" si="3"/>
        <v>APR</v>
      </c>
    </row>
    <row r="30" spans="1:14" ht="15" thickBot="1" x14ac:dyDescent="0.35">
      <c r="A30" s="2" t="s">
        <v>79</v>
      </c>
      <c r="B30" s="2" t="s">
        <v>80</v>
      </c>
      <c r="C30" s="2" t="s">
        <v>81</v>
      </c>
      <c r="D30" s="3">
        <v>60</v>
      </c>
      <c r="E30" s="3">
        <v>30</v>
      </c>
      <c r="F30" s="14" t="s">
        <v>13</v>
      </c>
      <c r="G30" s="18" t="str">
        <f t="shared" si="0"/>
        <v>standard price</v>
      </c>
      <c r="H30" s="18" t="str">
        <f t="shared" si="1"/>
        <v>07</v>
      </c>
      <c r="I30" s="18" t="str">
        <f t="shared" si="2"/>
        <v>CA</v>
      </c>
      <c r="J30" s="18" t="str">
        <f t="shared" si="3"/>
        <v>MAR</v>
      </c>
    </row>
    <row r="31" spans="1:14" ht="15" thickBot="1" x14ac:dyDescent="0.35">
      <c r="A31" s="4" t="s">
        <v>82</v>
      </c>
      <c r="B31" s="4" t="s">
        <v>83</v>
      </c>
      <c r="C31" s="4" t="s">
        <v>84</v>
      </c>
      <c r="D31" s="5">
        <v>40</v>
      </c>
      <c r="E31" s="5">
        <v>10</v>
      </c>
      <c r="F31" s="15" t="s">
        <v>17</v>
      </c>
      <c r="G31" s="18" t="str">
        <f t="shared" si="0"/>
        <v>standard price</v>
      </c>
      <c r="H31" s="18" t="str">
        <f t="shared" si="1"/>
        <v>13</v>
      </c>
      <c r="I31" s="18" t="str">
        <f t="shared" si="2"/>
        <v>CA</v>
      </c>
      <c r="J31" s="18" t="str">
        <f t="shared" si="3"/>
        <v>APR</v>
      </c>
    </row>
    <row r="32" spans="1:14" ht="15" thickBot="1" x14ac:dyDescent="0.35">
      <c r="A32" s="2" t="s">
        <v>85</v>
      </c>
      <c r="B32" s="2" t="s">
        <v>71</v>
      </c>
      <c r="C32" s="2" t="s">
        <v>86</v>
      </c>
      <c r="D32" s="3">
        <v>130</v>
      </c>
      <c r="E32" s="3">
        <v>5</v>
      </c>
      <c r="F32" s="14" t="s">
        <v>9</v>
      </c>
      <c r="G32" s="18" t="str">
        <f t="shared" si="0"/>
        <v>standard price</v>
      </c>
      <c r="H32" s="18" t="str">
        <f t="shared" si="1"/>
        <v>24</v>
      </c>
      <c r="I32" s="18" t="str">
        <f t="shared" si="2"/>
        <v>CA</v>
      </c>
      <c r="J32" s="18" t="str">
        <f t="shared" si="3"/>
        <v>MAY</v>
      </c>
    </row>
    <row r="33" spans="1:10" ht="15" thickBot="1" x14ac:dyDescent="0.35">
      <c r="A33" s="4" t="s">
        <v>87</v>
      </c>
      <c r="B33" s="4" t="s">
        <v>88</v>
      </c>
      <c r="C33" s="4" t="s">
        <v>89</v>
      </c>
      <c r="D33" s="5">
        <v>50</v>
      </c>
      <c r="E33" s="5">
        <v>50</v>
      </c>
      <c r="F33" s="15" t="s">
        <v>13</v>
      </c>
      <c r="G33" s="18" t="str">
        <f t="shared" si="0"/>
        <v>standard price</v>
      </c>
      <c r="H33" s="18" t="str">
        <f t="shared" si="1"/>
        <v>02</v>
      </c>
      <c r="I33" s="18" t="str">
        <f t="shared" si="2"/>
        <v>CA</v>
      </c>
      <c r="J33" s="18" t="str">
        <f t="shared" si="3"/>
        <v>DEC</v>
      </c>
    </row>
    <row r="34" spans="1:10" ht="15" thickBot="1" x14ac:dyDescent="0.35">
      <c r="A34" s="2" t="s">
        <v>40</v>
      </c>
      <c r="B34" s="2" t="s">
        <v>7</v>
      </c>
      <c r="C34" s="2" t="s">
        <v>41</v>
      </c>
      <c r="D34" s="3">
        <v>950</v>
      </c>
      <c r="E34" s="3">
        <v>25</v>
      </c>
      <c r="F34" s="14" t="s">
        <v>9</v>
      </c>
      <c r="G34" s="18" t="str">
        <f t="shared" si="0"/>
        <v>High price</v>
      </c>
      <c r="H34" s="18" t="str">
        <f t="shared" si="1"/>
        <v>17</v>
      </c>
      <c r="I34" s="18" t="str">
        <f t="shared" si="2"/>
        <v>IN</v>
      </c>
      <c r="J34" s="18" t="str">
        <f t="shared" si="3"/>
        <v>JUN</v>
      </c>
    </row>
    <row r="35" spans="1:10" ht="15" thickBot="1" x14ac:dyDescent="0.35">
      <c r="A35" s="4" t="s">
        <v>90</v>
      </c>
      <c r="B35" s="4" t="s">
        <v>91</v>
      </c>
      <c r="C35" s="4" t="s">
        <v>92</v>
      </c>
      <c r="D35" s="5">
        <v>100</v>
      </c>
      <c r="E35" s="5">
        <v>20</v>
      </c>
      <c r="F35" s="15" t="s">
        <v>53</v>
      </c>
      <c r="G35" s="18" t="str">
        <f t="shared" si="0"/>
        <v>standard price</v>
      </c>
      <c r="H35" s="18" t="str">
        <f t="shared" si="1"/>
        <v>09</v>
      </c>
      <c r="I35" s="18" t="str">
        <f t="shared" si="2"/>
        <v>FR</v>
      </c>
      <c r="J35" s="18" t="str">
        <f t="shared" si="3"/>
        <v>JUL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neethuks227@gmail.com</dc:creator>
  <cp:lastModifiedBy>neethuks227@gmail.com</cp:lastModifiedBy>
  <dcterms:created xsi:type="dcterms:W3CDTF">2026-09-16T14:36:28Z</dcterms:created>
  <dcterms:modified xsi:type="dcterms:W3CDTF">2026-09-18T05:33:25Z</dcterms:modified>
</cp:coreProperties>
</file>